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Main" sheetId="1" state="visible" r:id="rId1"/>
    <sheet name="Model" sheetId="2" state="visible" r:id="rId2"/>
    <sheet name="Annual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3" fillId="0" borderId="0" pivotButton="0" quotePrefix="0" xfId="1"/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0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8"/>
  <sheetViews>
    <sheetView workbookViewId="0">
      <selection activeCell="A1" sqref="A1"/>
    </sheetView>
  </sheetViews>
  <sheetFormatPr baseColWidth="8" defaultColWidth="12.6640625" defaultRowHeight="15.75" customHeight="1"/>
  <sheetData>
    <row r="1" ht="15.75" customHeight="1">
      <c r="A1" s="4" t="inlineStr">
        <is>
          <t>Model</t>
        </is>
      </c>
    </row>
    <row r="3">
      <c r="B3" s="1" t="inlineStr">
        <is>
          <t>Price</t>
        </is>
      </c>
      <c r="C3" s="2" t="n">
        <v>56.43</v>
      </c>
      <c r="E3" s="1" t="inlineStr">
        <is>
          <t>Q325</t>
        </is>
      </c>
    </row>
    <row r="4">
      <c r="B4" s="1" t="inlineStr">
        <is>
          <t>Shares</t>
        </is>
      </c>
      <c r="C4" s="2">
        <f>127.031+35.21+2.279</f>
        <v/>
      </c>
    </row>
    <row r="5">
      <c r="B5" s="1" t="inlineStr">
        <is>
          <t>Market Cap</t>
        </is>
      </c>
      <c r="C5" s="2">
        <f>C3*C4</f>
        <v/>
      </c>
    </row>
    <row r="6">
      <c r="B6" s="1" t="inlineStr">
        <is>
          <t>Cash</t>
        </is>
      </c>
      <c r="C6" s="2" t="n">
        <v>267.195</v>
      </c>
    </row>
    <row r="7">
      <c r="B7" s="1" t="inlineStr">
        <is>
          <t>Debt</t>
        </is>
      </c>
      <c r="C7" s="2">
        <f>195.997</f>
        <v/>
      </c>
    </row>
    <row r="8">
      <c r="B8" s="1" t="inlineStr">
        <is>
          <t>EV</t>
        </is>
      </c>
      <c r="C8" s="2">
        <f>C5-C6+C7</f>
        <v/>
      </c>
    </row>
  </sheetData>
  <hyperlinks>
    <hyperlink ref="A1" location="Model!A1" display="Mode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Q22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640625" defaultRowHeight="15.75" customHeight="1"/>
  <cols>
    <col width="23.88671875" customWidth="1" min="2" max="2"/>
  </cols>
  <sheetData>
    <row r="1" ht="13.2" customHeight="1">
      <c r="A1" s="4" t="inlineStr">
        <is>
          <t>Main</t>
        </is>
      </c>
    </row>
    <row r="3" ht="13.2" customHeight="1">
      <c r="C3" s="1" t="inlineStr">
        <is>
          <t>Q322</t>
        </is>
      </c>
      <c r="D3" s="1" t="inlineStr">
        <is>
          <t>Q422</t>
        </is>
      </c>
      <c r="E3" s="1" t="inlineStr">
        <is>
          <t>Q123</t>
        </is>
      </c>
      <c r="F3" s="1" t="inlineStr">
        <is>
          <t>Q223</t>
        </is>
      </c>
      <c r="G3" s="1" t="inlineStr">
        <is>
          <t>Q323</t>
        </is>
      </c>
      <c r="H3" s="1" t="inlineStr">
        <is>
          <t>Q423</t>
        </is>
      </c>
      <c r="I3" s="1" t="inlineStr">
        <is>
          <t>Q124</t>
        </is>
      </c>
      <c r="J3" s="1" t="inlineStr">
        <is>
          <t>Q224</t>
        </is>
      </c>
      <c r="K3" s="1" t="inlineStr">
        <is>
          <t>Q324</t>
        </is>
      </c>
      <c r="L3" s="1" t="inlineStr">
        <is>
          <t>Q424</t>
        </is>
      </c>
      <c r="M3" s="1" t="inlineStr">
        <is>
          <t>Q125</t>
        </is>
      </c>
      <c r="N3" s="1" t="inlineStr">
        <is>
          <t>Q225</t>
        </is>
      </c>
      <c r="O3" s="1" t="inlineStr">
        <is>
          <t>Q325</t>
        </is>
      </c>
      <c r="P3" s="1" t="inlineStr">
        <is>
          <t>Q425</t>
        </is>
      </c>
      <c r="Q3" s="1" t="n"/>
    </row>
    <row r="4" ht="13.2" customHeight="1">
      <c r="B4" s="1" t="inlineStr">
        <is>
          <t>Shops</t>
        </is>
      </c>
      <c r="C4" t="n">
        <v>641</v>
      </c>
      <c r="D4" t="n">
        <v>671</v>
      </c>
      <c r="E4" t="n">
        <v>716</v>
      </c>
      <c r="F4" t="n">
        <v>754</v>
      </c>
      <c r="G4" t="n">
        <v>794</v>
      </c>
      <c r="H4" t="n">
        <v>831</v>
      </c>
      <c r="I4" t="n">
        <v>831</v>
      </c>
      <c r="J4" t="n">
        <v>912</v>
      </c>
      <c r="K4" t="n">
        <v>950</v>
      </c>
      <c r="L4" t="n">
        <v>982</v>
      </c>
      <c r="M4" t="n">
        <v>1012</v>
      </c>
      <c r="N4" t="n">
        <v>1043</v>
      </c>
      <c r="O4" t="n">
        <v>1081</v>
      </c>
    </row>
    <row r="5" ht="13.2" customHeight="1">
      <c r="B5" s="1" t="inlineStr">
        <is>
          <t>Revenue/Shop</t>
        </is>
      </c>
      <c r="C5" s="6">
        <f>C9/C4</f>
        <v/>
      </c>
      <c r="D5" s="6">
        <f>D9/D4</f>
        <v/>
      </c>
      <c r="E5" s="6">
        <f>E9/E4</f>
        <v/>
      </c>
      <c r="F5" s="6">
        <f>F9/F4</f>
        <v/>
      </c>
      <c r="G5" s="6">
        <f>G9/G4</f>
        <v/>
      </c>
      <c r="H5" s="6">
        <f>H9/H4</f>
        <v/>
      </c>
      <c r="I5" s="6">
        <f>I9/I4</f>
        <v/>
      </c>
      <c r="J5" s="6">
        <f>J9/J4</f>
        <v/>
      </c>
      <c r="K5" s="6">
        <f>K9/K4</f>
        <v/>
      </c>
      <c r="L5" s="6">
        <f>L9/L4</f>
        <v/>
      </c>
      <c r="M5" s="6">
        <f>M9/M4</f>
        <v/>
      </c>
      <c r="N5" s="6">
        <f>N9/N4</f>
        <v/>
      </c>
      <c r="O5" s="6">
        <f>O9/O4</f>
        <v/>
      </c>
    </row>
    <row r="7" ht="13.2" customHeight="1">
      <c r="B7" s="1" t="inlineStr">
        <is>
          <t>Company</t>
        </is>
      </c>
      <c r="C7" t="n">
        <v>174</v>
      </c>
      <c r="D7" t="n">
        <v>176</v>
      </c>
      <c r="E7" t="n">
        <v>173</v>
      </c>
      <c r="F7" t="n">
        <v>221</v>
      </c>
      <c r="G7" t="n">
        <v>236</v>
      </c>
      <c r="H7" t="n">
        <v>227</v>
      </c>
      <c r="I7" t="n">
        <v>248</v>
      </c>
      <c r="J7" t="n">
        <v>295</v>
      </c>
      <c r="K7" t="n">
        <v>308</v>
      </c>
      <c r="L7" t="n">
        <v>314</v>
      </c>
      <c r="M7" t="n">
        <v>326</v>
      </c>
      <c r="N7" t="n">
        <v>381</v>
      </c>
      <c r="O7" t="n">
        <v>393</v>
      </c>
    </row>
    <row r="8" ht="13.2" customHeight="1">
      <c r="B8" s="1" t="inlineStr">
        <is>
          <t>Franchise</t>
        </is>
      </c>
      <c r="C8" t="n">
        <v>25</v>
      </c>
      <c r="D8" t="n">
        <v>26</v>
      </c>
      <c r="E8" t="n">
        <v>24</v>
      </c>
      <c r="F8" t="n">
        <v>29</v>
      </c>
      <c r="G8" t="n">
        <v>28</v>
      </c>
      <c r="H8" t="n">
        <v>27</v>
      </c>
      <c r="I8" t="n">
        <v>27</v>
      </c>
      <c r="J8" t="n">
        <v>30</v>
      </c>
      <c r="K8" t="n">
        <v>30</v>
      </c>
      <c r="L8" t="n">
        <v>28</v>
      </c>
      <c r="M8" t="n">
        <v>29</v>
      </c>
      <c r="N8" t="n">
        <v>35</v>
      </c>
      <c r="O8" t="n">
        <v>31</v>
      </c>
    </row>
    <row r="9" ht="13.2" customHeight="1">
      <c r="B9" s="3" t="inlineStr">
        <is>
          <t>Revenue</t>
        </is>
      </c>
      <c r="C9" s="5">
        <f>C7+C8</f>
        <v/>
      </c>
      <c r="D9" s="5">
        <f>D7+D8</f>
        <v/>
      </c>
      <c r="E9" s="5">
        <f>E7+E8</f>
        <v/>
      </c>
      <c r="F9" s="5">
        <f>F7+F8</f>
        <v/>
      </c>
      <c r="G9" s="5">
        <f>G7+G8</f>
        <v/>
      </c>
      <c r="H9" s="5">
        <f>H7+H8</f>
        <v/>
      </c>
      <c r="I9" s="5">
        <f>I7+I8</f>
        <v/>
      </c>
      <c r="J9" s="5">
        <f>J7+J8</f>
        <v/>
      </c>
      <c r="K9" s="5">
        <f>K7+K8</f>
        <v/>
      </c>
      <c r="L9" s="5">
        <f>L7+L8</f>
        <v/>
      </c>
      <c r="M9" s="5">
        <f>M7+M8</f>
        <v/>
      </c>
      <c r="N9" s="5">
        <f>N7+N8</f>
        <v/>
      </c>
      <c r="O9" s="5">
        <f>O7+O8</f>
        <v/>
      </c>
    </row>
    <row r="10" ht="13.2" customHeight="1">
      <c r="B10" s="1" t="inlineStr">
        <is>
          <t>COGS</t>
        </is>
      </c>
      <c r="C10" t="n">
        <v>148</v>
      </c>
      <c r="D10" t="n">
        <v>147</v>
      </c>
      <c r="E10" t="n">
        <v>152</v>
      </c>
      <c r="F10" t="n">
        <v>179</v>
      </c>
      <c r="G10" t="n">
        <v>189</v>
      </c>
      <c r="H10" t="n">
        <v>195</v>
      </c>
      <c r="I10" t="n">
        <v>203</v>
      </c>
      <c r="J10" t="n">
        <v>235</v>
      </c>
      <c r="K10" t="n">
        <v>248</v>
      </c>
      <c r="L10" t="n">
        <v>255</v>
      </c>
      <c r="M10" t="n">
        <v>265</v>
      </c>
      <c r="N10" t="n">
        <v>296</v>
      </c>
      <c r="O10" t="n">
        <v>317</v>
      </c>
    </row>
    <row r="11" ht="13.2" customHeight="1">
      <c r="B11" s="1" t="inlineStr">
        <is>
          <t>Gross Margin</t>
        </is>
      </c>
      <c r="C11">
        <f>C9-C10</f>
        <v/>
      </c>
      <c r="D11">
        <f>D9-D10</f>
        <v/>
      </c>
      <c r="E11">
        <f>E9-E10</f>
        <v/>
      </c>
      <c r="F11">
        <f>F9-F10</f>
        <v/>
      </c>
      <c r="G11">
        <f>G9-G10</f>
        <v/>
      </c>
      <c r="H11">
        <f>H9-H10</f>
        <v/>
      </c>
      <c r="I11">
        <f>I9-I10</f>
        <v/>
      </c>
      <c r="J11">
        <f>J9-J10</f>
        <v/>
      </c>
      <c r="K11">
        <f>K9-K10</f>
        <v/>
      </c>
      <c r="L11">
        <f>L9-L10</f>
        <v/>
      </c>
      <c r="M11">
        <f>M9-M10</f>
        <v/>
      </c>
      <c r="N11">
        <f>N9-N10</f>
        <v/>
      </c>
      <c r="O11">
        <f>O9-O10</f>
        <v/>
      </c>
    </row>
    <row r="12" ht="13.2" customHeight="1">
      <c r="B12" s="1" t="inlineStr">
        <is>
          <t>SG&amp;A</t>
        </is>
      </c>
      <c r="C12" t="n">
        <v>45</v>
      </c>
      <c r="D12" t="n">
        <v>49</v>
      </c>
      <c r="E12" t="n">
        <v>46</v>
      </c>
      <c r="F12" t="n">
        <v>49</v>
      </c>
      <c r="G12" t="n">
        <v>50</v>
      </c>
      <c r="H12" t="n">
        <v>54</v>
      </c>
      <c r="I12" t="n">
        <v>43</v>
      </c>
      <c r="J12" t="n">
        <v>51</v>
      </c>
      <c r="K12" t="n">
        <v>53</v>
      </c>
      <c r="L12" t="n">
        <v>68</v>
      </c>
      <c r="M12" t="n">
        <v>58</v>
      </c>
      <c r="N12" t="n">
        <v>64</v>
      </c>
      <c r="O12" t="n">
        <v>63</v>
      </c>
    </row>
    <row r="13" ht="13.2" customHeight="1">
      <c r="B13" s="1" t="inlineStr">
        <is>
          <t xml:space="preserve">Operating Income </t>
        </is>
      </c>
      <c r="C13">
        <f>C11-C12</f>
        <v/>
      </c>
      <c r="D13">
        <f>D11-D12</f>
        <v/>
      </c>
      <c r="E13">
        <f>E11-E12</f>
        <v/>
      </c>
      <c r="F13">
        <f>F11-F12</f>
        <v/>
      </c>
      <c r="G13">
        <f>G11-G12</f>
        <v/>
      </c>
      <c r="H13">
        <f>H11-H12</f>
        <v/>
      </c>
      <c r="I13">
        <f>I11-I12</f>
        <v/>
      </c>
      <c r="J13">
        <f>J11-J12</f>
        <v/>
      </c>
      <c r="K13">
        <f>K11-K12</f>
        <v/>
      </c>
      <c r="L13">
        <f>L11-L12</f>
        <v/>
      </c>
      <c r="M13">
        <f>M11-M12</f>
        <v/>
      </c>
      <c r="N13">
        <f>N11-N12</f>
        <v/>
      </c>
      <c r="O13">
        <f>O11-O12</f>
        <v/>
      </c>
    </row>
    <row r="14" ht="13.2" customHeight="1">
      <c r="B14" s="1" t="inlineStr">
        <is>
          <t>Interest Expense</t>
        </is>
      </c>
      <c r="C14" t="n">
        <v>-5</v>
      </c>
      <c r="D14" t="n">
        <v>-7</v>
      </c>
      <c r="E14" t="n">
        <v>-8</v>
      </c>
      <c r="F14" t="n">
        <v>-9</v>
      </c>
      <c r="G14" t="n">
        <v>-9</v>
      </c>
      <c r="H14" t="n">
        <v>-6</v>
      </c>
      <c r="I14" t="n">
        <v>-6</v>
      </c>
      <c r="J14" t="n">
        <v>-7</v>
      </c>
      <c r="K14" t="n">
        <v>-7</v>
      </c>
      <c r="L14" t="n">
        <v>-7</v>
      </c>
      <c r="M14" t="n">
        <v>-7</v>
      </c>
      <c r="N14" t="n">
        <v>-7</v>
      </c>
      <c r="O14" t="n">
        <v>-7</v>
      </c>
    </row>
    <row r="15" ht="13.2" customHeight="1">
      <c r="B15" s="1" t="inlineStr">
        <is>
          <t>Pretax Income</t>
        </is>
      </c>
      <c r="C15" t="n">
        <v>-2</v>
      </c>
      <c r="D15" t="n">
        <v>2</v>
      </c>
      <c r="E15" t="n">
        <v>-7</v>
      </c>
      <c r="F15" t="n">
        <v>12</v>
      </c>
      <c r="G15" t="n">
        <v>15</v>
      </c>
      <c r="H15" t="n">
        <v>-3</v>
      </c>
      <c r="I15" t="n">
        <v>25</v>
      </c>
      <c r="J15" t="n">
        <v>26</v>
      </c>
      <c r="K15" t="n">
        <v>26</v>
      </c>
      <c r="L15" t="n">
        <v>7</v>
      </c>
      <c r="M15" t="n">
        <v>24</v>
      </c>
      <c r="N15" t="n">
        <v>46</v>
      </c>
      <c r="O15" t="n">
        <v>35</v>
      </c>
    </row>
    <row r="16" ht="13.2" customHeight="1">
      <c r="B16" s="1" t="inlineStr">
        <is>
          <t>Taxes</t>
        </is>
      </c>
      <c r="C16" t="n">
        <v>-3</v>
      </c>
      <c r="D16" t="n">
        <v>5</v>
      </c>
      <c r="E16" t="n">
        <v>3</v>
      </c>
      <c r="F16" t="n">
        <v>2</v>
      </c>
      <c r="G16" t="n">
        <v>2</v>
      </c>
      <c r="H16" t="n">
        <v>1</v>
      </c>
      <c r="I16" t="n">
        <v>9</v>
      </c>
      <c r="J16" t="n">
        <v>4</v>
      </c>
      <c r="K16" t="n">
        <v>5</v>
      </c>
      <c r="L16" t="n">
        <v>1</v>
      </c>
      <c r="M16" t="n">
        <v>1</v>
      </c>
      <c r="N16" t="n">
        <v>7</v>
      </c>
      <c r="O16" t="n">
        <v>8</v>
      </c>
    </row>
    <row r="17" ht="13.2" customHeight="1">
      <c r="B17" s="1" t="inlineStr">
        <is>
          <t>Net Income</t>
        </is>
      </c>
      <c r="C17" t="n">
        <v>2</v>
      </c>
      <c r="D17" t="n">
        <v>-1</v>
      </c>
      <c r="E17" t="n">
        <v>-4</v>
      </c>
      <c r="F17" t="n">
        <v>3</v>
      </c>
      <c r="G17" t="n">
        <v>4</v>
      </c>
      <c r="H17" t="n">
        <v>-1</v>
      </c>
      <c r="I17" t="n">
        <v>7</v>
      </c>
      <c r="J17" t="n">
        <v>12</v>
      </c>
      <c r="K17" t="n">
        <v>13</v>
      </c>
      <c r="L17" t="n">
        <v>4</v>
      </c>
      <c r="M17" t="n">
        <v>15</v>
      </c>
      <c r="N17" t="n">
        <v>26</v>
      </c>
      <c r="O17" t="n">
        <v>18</v>
      </c>
    </row>
    <row r="18" ht="13.2" customHeight="1">
      <c r="B18" s="1" t="inlineStr">
        <is>
          <t>EPS</t>
        </is>
      </c>
      <c r="C18" t="n">
        <v>0.03</v>
      </c>
      <c r="D18" t="n">
        <v>-0.01</v>
      </c>
      <c r="E18" t="n">
        <v>-0.07000000000000001</v>
      </c>
      <c r="F18" t="n">
        <v>0.05</v>
      </c>
      <c r="G18" t="n">
        <v>0.07000000000000001</v>
      </c>
      <c r="H18" t="n">
        <v>-0.02</v>
      </c>
      <c r="I18" t="n">
        <v>0.08</v>
      </c>
      <c r="J18" t="n">
        <v>0.12</v>
      </c>
      <c r="K18" t="n">
        <v>0.11</v>
      </c>
      <c r="L18" t="n">
        <v>0.03</v>
      </c>
      <c r="M18" t="n">
        <v>0.13</v>
      </c>
      <c r="N18" t="n">
        <v>0.2</v>
      </c>
      <c r="O18" t="n">
        <v>0.14</v>
      </c>
    </row>
    <row r="19" ht="13.2" customHeight="1">
      <c r="B19" s="1" t="inlineStr">
        <is>
          <t>Shares Outstanding</t>
        </is>
      </c>
      <c r="C19" t="n">
        <v>54</v>
      </c>
      <c r="D19" t="n">
        <v>55</v>
      </c>
      <c r="E19" t="n">
        <v>57</v>
      </c>
      <c r="F19" t="n">
        <v>57</v>
      </c>
      <c r="G19" t="n">
        <v>60</v>
      </c>
      <c r="H19" t="n">
        <v>75</v>
      </c>
      <c r="I19" t="n">
        <v>83</v>
      </c>
      <c r="J19" t="n">
        <v>102</v>
      </c>
      <c r="K19" t="n">
        <v>114</v>
      </c>
      <c r="L19" t="n">
        <v>115</v>
      </c>
      <c r="M19" t="n">
        <v>122</v>
      </c>
      <c r="N19" t="n">
        <v>127</v>
      </c>
      <c r="O19" t="n">
        <v>127</v>
      </c>
    </row>
    <row r="21" ht="15.75" customHeight="1">
      <c r="B21" s="7" t="inlineStr">
        <is>
          <t>Revenue Growth y/o/y %</t>
        </is>
      </c>
      <c r="C21" s="8" t="n"/>
      <c r="D21" s="8" t="n"/>
      <c r="E21" s="8" t="n"/>
      <c r="F21" s="8" t="n"/>
      <c r="G21" s="8">
        <f>(G9-C9)/C9</f>
        <v/>
      </c>
      <c r="H21" s="8">
        <f>(H9-D9)/D9</f>
        <v/>
      </c>
      <c r="I21" s="8">
        <f>(I9-E9)/E9</f>
        <v/>
      </c>
      <c r="J21" s="8">
        <f>(J9-F9)/F9</f>
        <v/>
      </c>
      <c r="K21" s="8">
        <f>(K9-G9)/G9</f>
        <v/>
      </c>
      <c r="L21" s="8">
        <f>(L9-H9)/H9</f>
        <v/>
      </c>
      <c r="M21" s="8">
        <f>(M9-I9)/I9</f>
        <v/>
      </c>
      <c r="N21" s="8">
        <f>(N9-J9)/J9</f>
        <v/>
      </c>
      <c r="O21" s="8">
        <f>(O9-K9)/K9</f>
        <v/>
      </c>
    </row>
    <row r="22" ht="15.75" customHeight="1">
      <c r="B22" s="7" t="inlineStr">
        <is>
          <t>Shop Growth y/o/y %</t>
        </is>
      </c>
      <c r="C22" s="8" t="n"/>
      <c r="D22" s="8" t="n"/>
      <c r="E22" s="8" t="n"/>
      <c r="F22" s="8" t="n"/>
      <c r="G22" s="8">
        <f>(G4-C4)/C4</f>
        <v/>
      </c>
      <c r="H22" s="8">
        <f>(H4-D4)/D4</f>
        <v/>
      </c>
      <c r="I22" s="8">
        <f>(I4-E4)/E4</f>
        <v/>
      </c>
      <c r="J22" s="8">
        <f>(J4-F4)/F4</f>
        <v/>
      </c>
      <c r="K22" s="8">
        <f>(K4-G4)/G4</f>
        <v/>
      </c>
      <c r="L22" s="8">
        <f>(L4-H4)/H4</f>
        <v/>
      </c>
      <c r="M22" s="8">
        <f>(M4-I4)/I4</f>
        <v/>
      </c>
      <c r="N22" s="8">
        <f>(N4-J4)/J4</f>
        <v/>
      </c>
      <c r="O22" s="8">
        <f>(O4-K4)/K4</f>
        <v/>
      </c>
    </row>
  </sheetData>
  <hyperlinks>
    <hyperlink ref="A1" location="Main!A1" display="Mai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William Waldrop</dc:creator>
  <dcterms:created xsi:type="dcterms:W3CDTF">2025-12-12T06:19:38Z</dcterms:created>
  <dcterms:modified xsi:type="dcterms:W3CDTF">2026-02-07T07:16:01Z</dcterms:modified>
  <cp:lastModifiedBy>William Waldrop</cp:lastModifiedBy>
</cp:coreProperties>
</file>